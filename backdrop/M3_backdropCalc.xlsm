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Questa_cartella_di_lavoro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D:\EMU\artwork\arcade\Space Invaders\"/>
    </mc:Choice>
  </mc:AlternateContent>
  <xr:revisionPtr revIDLastSave="0" documentId="13_ncr:1_{D2A7D386-D7BE-48D8-A46B-FB7B9DCE6C20}" xr6:coauthVersionLast="40" xr6:coauthVersionMax="40" xr10:uidLastSave="{00000000-0000-0000-0000-000000000000}"/>
  <bookViews>
    <workbookView xWindow="0" yWindow="0" windowWidth="25605" windowHeight="14880" xr2:uid="{00000000-000D-0000-FFFF-FFFF00000000}"/>
  </bookViews>
  <sheets>
    <sheet name="Foglio1" sheetId="1" r:id="rId1"/>
  </sheets>
  <calcPr calcId="181029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8" i="1" l="1"/>
  <c r="H16" i="1"/>
  <c r="D18" i="1"/>
  <c r="H14" i="1"/>
  <c r="M9" i="1"/>
  <c r="M6" i="1"/>
  <c r="W14" i="1"/>
  <c r="M10" i="1"/>
  <c r="N6" i="1"/>
  <c r="X14" i="1"/>
  <c r="M11" i="1"/>
  <c r="M7" i="1"/>
  <c r="W15" i="1"/>
  <c r="M12" i="1"/>
  <c r="N7" i="1"/>
  <c r="X15" i="1"/>
  <c r="B10" i="1"/>
</calcChain>
</file>

<file path=xl/sharedStrings.xml><?xml version="1.0" encoding="utf-8"?>
<sst xmlns="http://schemas.openxmlformats.org/spreadsheetml/2006/main" count="22" uniqueCount="22">
  <si>
    <t>Game area</t>
  </si>
  <si>
    <t>x (width)</t>
  </si>
  <si>
    <t>y(height)</t>
  </si>
  <si>
    <t>X5</t>
  </si>
  <si>
    <t>Y5</t>
  </si>
  <si>
    <t>X8</t>
  </si>
  <si>
    <t>Y8</t>
  </si>
  <si>
    <t>POSITION</t>
  </si>
  <si>
    <t>String for ART settings:</t>
  </si>
  <si>
    <t>Backdrop image</t>
  </si>
  <si>
    <t>1080p reference Game Areas</t>
  </si>
  <si>
    <t>Vertical ROMS</t>
  </si>
  <si>
    <t>Horizontal ROMS</t>
  </si>
  <si>
    <t>X axis</t>
  </si>
  <si>
    <t>&lt;--- Y axis (positive)</t>
  </si>
  <si>
    <t>---&gt;</t>
  </si>
  <si>
    <t>ROM name:</t>
  </si>
  <si>
    <t>armora</t>
  </si>
  <si>
    <t>Backdrop Image filename:</t>
  </si>
  <si>
    <t>mybackdrop.png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</si>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</sst>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4" tint="-0.499984740745262"/>
      <name val="Arial"/>
      <family val="2"/>
    </font>
    <font>
      <b/>
      <sz val="11"/>
      <color theme="4" tint="-0.499984740745262"/>
      <name val="Arial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quotePrefix="1"/>
    <xf numFmtId="0" fontId="0" fillId="0" borderId="0" xfId="0" applyAlignment="1">
      <alignment horizontal="left"/>
    </xf>
    <xf numFmtId="0" fontId="0" fillId="0" borderId="2" xfId="0" applyBorder="1" applyAlignment="1"/>
    <xf numFmtId="0" fontId="1" fillId="0" borderId="1" xfId="0" applyFont="1" applyBorder="1" applyAlignment="1"/>
    <xf numFmtId="0" fontId="2" fillId="0" borderId="1" xfId="0" applyFont="1" applyBorder="1"/>
    <xf numFmtId="0" fontId="3" fillId="0" borderId="12" xfId="0" applyFont="1" applyBorder="1"/>
    <xf numFmtId="0" fontId="3" fillId="2" borderId="0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0" borderId="9" xfId="0" applyFont="1" applyBorder="1"/>
    <xf numFmtId="0" fontId="3" fillId="3" borderId="1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0" borderId="0" xfId="0" applyFont="1"/>
    <xf numFmtId="0" fontId="2" fillId="0" borderId="0" xfId="0" applyFont="1"/>
    <xf numFmtId="0" fontId="4" fillId="6" borderId="0" xfId="0" applyFont="1" applyFill="1"/>
    <xf numFmtId="0" fontId="5" fillId="6" borderId="0" xfId="0" applyFont="1" applyFill="1"/>
    <xf numFmtId="0" fontId="0" fillId="2" borderId="0" xfId="0" quotePrefix="1" applyFill="1"/>
    <xf numFmtId="0" fontId="0" fillId="2" borderId="0" xfId="0" applyFill="1"/>
    <xf numFmtId="0" fontId="0" fillId="3" borderId="0" xfId="0" applyFill="1"/>
    <xf numFmtId="0" fontId="6" fillId="2" borderId="0" xfId="0" applyFont="1" applyFill="1"/>
    <xf numFmtId="0" fontId="0" fillId="4" borderId="1" xfId="0" applyFill="1" applyBorder="1" applyAlignment="1">
      <alignment horizontal="left"/>
    </xf>
    <xf numFmtId="0" fontId="0" fillId="4" borderId="3" xfId="0" applyFill="1" applyBorder="1"/>
    <xf numFmtId="0" fontId="6" fillId="4" borderId="2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5" xfId="0" applyBorder="1" applyAlignment="1">
      <alignment horizontal="left"/>
    </xf>
    <xf numFmtId="0" fontId="0" fillId="0" borderId="16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20" xfId="0" applyBorder="1"/>
    <xf numFmtId="0" fontId="0" fillId="0" borderId="20" xfId="0" applyBorder="1" applyAlignment="1">
      <alignment horizontal="left"/>
    </xf>
    <xf numFmtId="0" fontId="0" fillId="0" borderId="21" xfId="0" applyBorder="1"/>
    <xf numFmtId="0" fontId="0" fillId="0" borderId="14" xfId="0" applyFill="1" applyBorder="1"/>
    <xf numFmtId="0" fontId="0" fillId="0" borderId="17" xfId="0" applyFill="1" applyBorder="1"/>
    <xf numFmtId="0" fontId="6" fillId="0" borderId="17" xfId="0" applyFont="1" applyFill="1" applyBorder="1" applyAlignment="1">
      <alignment textRotation="90"/>
    </xf>
    <xf numFmtId="0" fontId="0" fillId="0" borderId="19" xfId="0" applyFill="1" applyBorder="1"/>
    <xf numFmtId="0" fontId="0" fillId="5" borderId="0" xfId="0" applyFill="1" applyBorder="1" applyAlignment="1">
      <alignment horizontal="center"/>
    </xf>
    <xf numFmtId="0" fontId="0" fillId="5" borderId="0" xfId="0" applyFill="1" applyBorder="1"/>
    <xf numFmtId="0" fontId="0" fillId="0" borderId="0" xfId="0" applyFill="1"/>
    <xf numFmtId="0" fontId="6" fillId="0" borderId="0" xfId="0" applyFont="1" applyFill="1" applyAlignment="1">
      <alignment textRotation="90"/>
    </xf>
    <xf numFmtId="0" fontId="0" fillId="0" borderId="0" xfId="0" applyAlignment="1">
      <alignment textRotation="90"/>
    </xf>
    <xf numFmtId="0" fontId="6" fillId="3" borderId="0" xfId="0" applyFont="1" applyFill="1" applyAlignment="1">
      <alignment vertical="center" textRotation="90"/>
    </xf>
    <xf numFmtId="0" fontId="6" fillId="5" borderId="0" xfId="0" applyFont="1" applyFill="1" applyAlignment="1">
      <alignment vertical="center" textRotation="90"/>
    </xf>
    <xf numFmtId="0" fontId="6" fillId="0" borderId="5" xfId="0" applyFont="1" applyFill="1" applyBorder="1" applyAlignment="1">
      <alignment vertical="center" textRotation="90"/>
    </xf>
    <xf numFmtId="0" fontId="8" fillId="7" borderId="0" xfId="0" applyFont="1" applyFill="1" applyAlignment="1">
      <alignment horizontal="center" vertical="center"/>
    </xf>
    <xf numFmtId="0" fontId="7" fillId="8" borderId="0" xfId="0" applyFont="1" applyFill="1"/>
    <xf numFmtId="0" fontId="9" fillId="0" borderId="10" xfId="0" applyFont="1" applyBorder="1"/>
    <xf numFmtId="0" fontId="9" fillId="0" borderId="11" xfId="0" applyFont="1" applyBorder="1"/>
    <xf numFmtId="0" fontId="8" fillId="0" borderId="0" xfId="0" applyFont="1" applyFill="1" applyAlignment="1">
      <alignment horizontal="right" vertic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horizontal="right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2:X28"/>
  <sheetViews>
    <sheetView tabSelected="1" workbookViewId="0">
      <selection activeCell="H5" sqref="H5"/>
    </sheetView>
  </sheetViews>
  <sheetFormatPr defaultColWidth="8.85546875" defaultRowHeight="15" x14ac:dyDescent="0.25"/>
  <cols>
    <col min="1" max="1" width="11" customWidth="1"/>
    <col min="2" max="2" width="15.85546875" customWidth="1"/>
    <col min="3" max="3" width="15.42578125" customWidth="1"/>
    <col min="5" max="5" width="2.5703125" customWidth="1"/>
    <col min="6" max="6" width="3.28515625" customWidth="1"/>
    <col min="7" max="7" width="9.5703125" customWidth="1"/>
    <col min="12" max="12" width="10.7109375" customWidth="1"/>
    <col min="23" max="24" width="0" hidden="1" customWidth="1"/>
  </cols>
  <sheetData>
    <row r="2" spans="1:24" ht="15.75" x14ac:dyDescent="0.25">
      <c r="A2" t="s">
        <v>16</v>
      </c>
      <c r="B2" s="50" t="s">
        <v>17</v>
      </c>
      <c r="I2" s="8"/>
    </row>
    <row r="3" spans="1:24" ht="15.75" x14ac:dyDescent="0.25">
      <c r="A3" t="s">
        <v>18</v>
      </c>
      <c r="B3" s="54"/>
      <c r="C3" s="51" t="s">
        <v>19</v>
      </c>
      <c r="I3" s="8"/>
    </row>
    <row r="4" spans="1:24" x14ac:dyDescent="0.25">
      <c r="I4" s="8"/>
    </row>
    <row r="5" spans="1:24" x14ac:dyDescent="0.25">
      <c r="A5" s="12"/>
      <c r="B5" s="52" t="s">
        <v>9</v>
      </c>
      <c r="C5" s="53" t="s">
        <v>0</v>
      </c>
      <c r="M5" s="55" t="s">
        <v>20</v>
      </c>
      <c r="N5" s="57" t="s">
        <v>21</v>
      </c>
    </row>
    <row r="6" spans="1:24" x14ac:dyDescent="0.25">
      <c r="A6" s="13" t="s">
        <v>1</v>
      </c>
      <c r="B6" s="14">
        <v>1920</v>
      </c>
      <c r="C6" s="15">
        <v>1444</v>
      </c>
      <c r="L6" s="56" t="s">
        <v>7</v>
      </c>
      <c r="M6" s="55">
        <f>(0-M9)/C6</f>
        <v>-0.16481994459833796</v>
      </c>
      <c r="N6" s="55">
        <f>(0-M10)/C7</f>
        <v>0</v>
      </c>
    </row>
    <row r="7" spans="1:24" x14ac:dyDescent="0.25">
      <c r="A7" s="16" t="s">
        <v>2</v>
      </c>
      <c r="B7" s="17">
        <v>1080</v>
      </c>
      <c r="C7" s="18">
        <v>1080</v>
      </c>
      <c r="L7" s="55"/>
      <c r="M7" s="55">
        <f>M11/C6</f>
        <v>1.164819944598338</v>
      </c>
      <c r="N7" s="55">
        <f>M12/C7</f>
        <v>1</v>
      </c>
    </row>
    <row r="8" spans="1:24" x14ac:dyDescent="0.25">
      <c r="A8" s="19"/>
      <c r="B8" s="19"/>
      <c r="C8" s="19"/>
    </row>
    <row r="9" spans="1:24" x14ac:dyDescent="0.25">
      <c r="A9" s="20" t="s">
        <v>8</v>
      </c>
      <c r="B9" s="19"/>
      <c r="C9" s="19"/>
      <c r="L9" s="55" t="s">
        <v>3</v>
      </c>
      <c r="M9" s="55">
        <f>(B6-C6)/2</f>
        <v>238</v>
      </c>
    </row>
    <row r="10" spans="1:24" ht="16.5" customHeight="1" x14ac:dyDescent="0.25">
      <c r="A10" s="19"/>
      <c r="B10" s="21" t="str">
        <f>W14&amp;","&amp;X14&amp;","&amp;W15&amp;","&amp;X15</f>
        <v>-0.16482,0,1.16482,1</v>
      </c>
      <c r="C10" s="22"/>
      <c r="L10" s="55" t="s">
        <v>4</v>
      </c>
      <c r="M10" s="55">
        <f>(B7-C7)/2</f>
        <v>0</v>
      </c>
    </row>
    <row r="11" spans="1:24" x14ac:dyDescent="0.25">
      <c r="L11" s="55" t="s">
        <v>5</v>
      </c>
      <c r="M11" s="55">
        <f>B6-M9</f>
        <v>1682</v>
      </c>
      <c r="Q11" s="3"/>
      <c r="R11" s="3"/>
      <c r="S11" s="3"/>
      <c r="T11" s="3"/>
    </row>
    <row r="12" spans="1:24" x14ac:dyDescent="0.25">
      <c r="L12" s="55" t="s">
        <v>6</v>
      </c>
      <c r="M12" s="55">
        <f>B7-M10</f>
        <v>1080</v>
      </c>
      <c r="Q12" s="3"/>
      <c r="R12" s="3"/>
      <c r="S12" s="3"/>
      <c r="T12" s="3"/>
    </row>
    <row r="13" spans="1:24" x14ac:dyDescent="0.25">
      <c r="E13" t="s">
        <v>13</v>
      </c>
      <c r="G13" s="8" t="s">
        <v>15</v>
      </c>
      <c r="Q13" s="3"/>
      <c r="R13" s="3"/>
      <c r="S13" s="3"/>
      <c r="T13" s="3"/>
    </row>
    <row r="14" spans="1:24" ht="15.75" thickBot="1" x14ac:dyDescent="0.3">
      <c r="D14" s="8">
        <v>1</v>
      </c>
      <c r="E14" s="8"/>
      <c r="F14" s="23"/>
      <c r="G14" s="24"/>
      <c r="H14" s="26">
        <f>B6</f>
        <v>1920</v>
      </c>
      <c r="I14" s="24"/>
      <c r="J14" s="24"/>
      <c r="K14" s="9">
        <v>2</v>
      </c>
      <c r="W14" t="str">
        <f>TRIM(SUBSTITUTE(ROUND(M6,6),",","."))</f>
        <v>-0.16482</v>
      </c>
      <c r="X14" t="str">
        <f>TRIM(SUBSTITUTE(ROUND(N6,6),",","."))</f>
        <v>0</v>
      </c>
    </row>
    <row r="15" spans="1:24" x14ac:dyDescent="0.25">
      <c r="D15" s="25"/>
      <c r="E15" s="38"/>
      <c r="F15" s="30"/>
      <c r="G15" s="31">
        <v>5</v>
      </c>
      <c r="H15" s="30"/>
      <c r="I15" s="30">
        <v>6</v>
      </c>
      <c r="J15" s="32"/>
      <c r="K15" s="44"/>
      <c r="W15" t="str">
        <f>TRIM(SUBSTITUTE(ROUND(M7,6),",","."))</f>
        <v>1.16482</v>
      </c>
      <c r="X15" t="str">
        <f>TRIM(SUBSTITUTE(ROUND(N7,6),",","."))</f>
        <v>1</v>
      </c>
    </row>
    <row r="16" spans="1:24" x14ac:dyDescent="0.25">
      <c r="D16" s="25"/>
      <c r="E16" s="39"/>
      <c r="F16" s="42"/>
      <c r="G16" s="27"/>
      <c r="H16" s="29">
        <f>C6</f>
        <v>1444</v>
      </c>
      <c r="I16" s="28"/>
      <c r="J16" s="33"/>
      <c r="K16" s="44"/>
    </row>
    <row r="17" spans="1:11" x14ac:dyDescent="0.25">
      <c r="D17" s="25"/>
      <c r="E17" s="39"/>
      <c r="F17" s="43"/>
      <c r="G17" s="2"/>
      <c r="H17" s="3"/>
      <c r="I17" s="4"/>
      <c r="J17" s="33"/>
      <c r="K17" s="44"/>
    </row>
    <row r="18" spans="1:11" ht="98.25" x14ac:dyDescent="0.25">
      <c r="C18" s="46" t="s">
        <v>14</v>
      </c>
      <c r="D18" s="47">
        <f>B7</f>
        <v>1080</v>
      </c>
      <c r="E18" s="40"/>
      <c r="F18" s="48">
        <f>C7</f>
        <v>1080</v>
      </c>
      <c r="G18" s="2"/>
      <c r="H18" s="3"/>
      <c r="I18" s="49"/>
      <c r="J18" s="33"/>
      <c r="K18" s="45"/>
    </row>
    <row r="19" spans="1:11" x14ac:dyDescent="0.25">
      <c r="D19" s="25"/>
      <c r="E19" s="39"/>
      <c r="F19" s="43"/>
      <c r="G19" s="2"/>
      <c r="H19" s="3"/>
      <c r="I19" s="4"/>
      <c r="J19" s="33"/>
      <c r="K19" s="44"/>
    </row>
    <row r="20" spans="1:11" x14ac:dyDescent="0.25">
      <c r="D20" s="25"/>
      <c r="E20" s="39"/>
      <c r="F20" s="43"/>
      <c r="G20" s="5"/>
      <c r="H20" s="6"/>
      <c r="I20" s="7"/>
      <c r="J20" s="34"/>
      <c r="K20" s="44"/>
    </row>
    <row r="21" spans="1:11" ht="15.75" thickBot="1" x14ac:dyDescent="0.3">
      <c r="D21" s="25"/>
      <c r="E21" s="41"/>
      <c r="F21" s="35"/>
      <c r="G21" s="36">
        <v>7</v>
      </c>
      <c r="H21" s="35"/>
      <c r="I21" s="35">
        <v>8</v>
      </c>
      <c r="J21" s="37"/>
      <c r="K21" s="44"/>
    </row>
    <row r="22" spans="1:11" x14ac:dyDescent="0.25">
      <c r="D22">
        <v>3</v>
      </c>
      <c r="J22">
        <v>4</v>
      </c>
    </row>
    <row r="25" spans="1:11" x14ac:dyDescent="0.25">
      <c r="A25" s="11" t="s">
        <v>10</v>
      </c>
      <c r="B25" s="10"/>
      <c r="C25" s="10"/>
      <c r="D25" s="1"/>
    </row>
    <row r="26" spans="1:11" x14ac:dyDescent="0.25">
      <c r="A26" s="2" t="s">
        <v>11</v>
      </c>
      <c r="B26" s="3"/>
      <c r="C26" s="3" t="s">
        <v>12</v>
      </c>
      <c r="D26" s="4"/>
    </row>
    <row r="27" spans="1:11" x14ac:dyDescent="0.25">
      <c r="A27" s="2">
        <v>810</v>
      </c>
      <c r="B27" s="3"/>
      <c r="C27" s="3">
        <v>1440</v>
      </c>
      <c r="D27" s="4"/>
    </row>
    <row r="28" spans="1:11" x14ac:dyDescent="0.25">
      <c r="A28" s="5">
        <v>1080</v>
      </c>
      <c r="B28" s="6"/>
      <c r="C28" s="6">
        <v>1080</v>
      </c>
      <c r="D28" s="7"/>
    </row>
  </sheetData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Dawid (BIT)</dc:creator>
  <cp:lastModifiedBy>Stefan Dawid</cp:lastModifiedBy>
  <dcterms:created xsi:type="dcterms:W3CDTF">2018-12-18T13:30:02Z</dcterms:created>
  <dcterms:modified xsi:type="dcterms:W3CDTF">2018-12-23T17:12:05Z</dcterms:modified>
</cp:coreProperties>
</file>